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180" tabRatio="913"/>
  </bookViews>
  <sheets>
    <sheet name="Tong hop" sheetId="5" r:id="rId1"/>
    <sheet name="1.Thu lao" sheetId="13" r:id="rId2"/>
    <sheet name="2.Nguyen_vat_lieu" sheetId="2" r:id="rId3"/>
    <sheet name="3.VPP_in an" sheetId="11" r:id="rId4"/>
    <sheet name="4. HĐ nghiem thu" sheetId="7" r:id="rId5"/>
  </sheets>
  <definedNames>
    <definedName name="_xlnm.Print_Titles" localSheetId="1">'1.Thu lao'!$2:$3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D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Không thay đổi hệ số lao động khoa học trong cột này.</t>
        </r>
      </text>
    </comment>
    <comment ref="E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Chỉ thay đổi số tháng của phần 2 la mã.
Số tháng lẻ tối đa 1 con số; không được lẻ ví dụ như 0,55</t>
        </r>
      </text>
    </comment>
    <comment ref="F2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Không thay đổi định mức 1.500.000 này</t>
        </r>
      </text>
    </comment>
    <comment ref="D6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Chủ nhiệm: hệ số 1</t>
        </r>
      </text>
    </comment>
    <comment ref="E6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mỗi tháng = 0,2
đề tài 6 tháng = 1,2</t>
        </r>
      </text>
    </comment>
    <comment ref="D7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Thư ký khoa học: hệ số 0,3</t>
        </r>
      </text>
    </comment>
    <comment ref="E7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mỗi tháng = 0,2
đề tài 6 tháng = 1,2</t>
        </r>
      </text>
    </comment>
    <comment ref="B8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Là nội dung được nêu trong mục 15.2 của thuyết minh đề tài</t>
        </r>
      </text>
    </comment>
    <comment ref="D10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Thành viên chính: hệ số 0,8</t>
        </r>
      </text>
    </comment>
    <comment ref="D11" authorId="1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Thành viên: hệ số 0,4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F14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Nếu có dự toán nội dung này, lưu ý phải lấy hóa đơn điện tử.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F7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Văn phòng phẩm, in ấn phải lấy hóa đơn điện tử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A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Không thay đổi nội dung Hội đồng nghiệm thu, vì đã được ghi theo đúng Quy định hiện hành.</t>
        </r>
      </text>
    </comment>
    <comment ref="F11" authorId="0">
      <text>
        <r>
          <rPr>
            <b/>
            <sz val="9"/>
            <rFont val="Tahoma"/>
            <charset val="134"/>
          </rPr>
          <t>Admin:</t>
        </r>
        <r>
          <rPr>
            <sz val="9"/>
            <rFont val="Tahoma"/>
            <charset val="134"/>
          </rPr>
          <t xml:space="preserve">
Không thay đổi nội dung Hội đồng nghiệm thu, vì đã được ghi theo đúng Quy định hiện hành.</t>
        </r>
      </text>
    </comment>
  </commentList>
</comments>
</file>

<file path=xl/sharedStrings.xml><?xml version="1.0" encoding="utf-8"?>
<sst xmlns="http://schemas.openxmlformats.org/spreadsheetml/2006/main" count="181" uniqueCount="105">
  <si>
    <t>BỘ GIÁO DỤC VÀ ĐÀO TẠO</t>
  </si>
  <si>
    <t>ĐẠI HỌC CẦN THƠ</t>
  </si>
  <si>
    <t>BẢNG TỔNG HỢP KINH PHÍ THỰC HIỆN 
ĐỀ TÀI NGHIÊN CỨU KHOA HỌC CỦA SINH VIÊN</t>
  </si>
  <si>
    <t>1. Mã số đề tài: THS2026-66</t>
  </si>
  <si>
    <t>2. Tên đề tài: Xây dựng hệ thống có ứng dụng trí tuệ nhân
tạo hỗ trợ sinh viên Đại học Cần Thơ tìm nhà trọ</t>
  </si>
  <si>
    <t>3. Chủ nhiệm đề tài: Trần Hoàng Phú</t>
  </si>
  <si>
    <t>MSSV: B2303891, Lớp: ghi đầy đủ tên lớp</t>
  </si>
  <si>
    <t>Đơn vị: Trường Công nghệ thông tin và Truyền thông</t>
  </si>
  <si>
    <t>Số điện thoại: 0374943129, Email: phub2303891@student.ctu.edu.vn</t>
  </si>
  <si>
    <t>4. Cán bộ hướng dẫn: TS. Nguyễn Công Danh</t>
  </si>
  <si>
    <t>5. Tổng kinh phí được duyệt: 15,000,000 đồng</t>
  </si>
  <si>
    <t>TT</t>
  </si>
  <si>
    <t>Khoản chi, nội dung chi</t>
  </si>
  <si>
    <t>Dự toán kinh phí</t>
  </si>
  <si>
    <r>
      <rPr>
        <b/>
        <sz val="13"/>
        <color theme="1"/>
        <rFont val="Times New Roman"/>
        <charset val="134"/>
      </rPr>
      <t xml:space="preserve">Nguồn kinh phí </t>
    </r>
    <r>
      <rPr>
        <i/>
        <sz val="13"/>
        <color theme="1"/>
        <rFont val="Times New Roman"/>
        <charset val="134"/>
      </rPr>
      <t>(đồng)</t>
    </r>
  </si>
  <si>
    <t>Tổng kinh phí</t>
  </si>
  <si>
    <t>Tỷ lệ</t>
  </si>
  <si>
    <t>Học phí</t>
  </si>
  <si>
    <t>Chi tiền thù lao tham gia thực hiện đề tài</t>
  </si>
  <si>
    <t>Chi mua vật tư, nguyên, nhiên, vật liệu</t>
  </si>
  <si>
    <t>Chi văn phòng phẩm, in ấn</t>
  </si>
  <si>
    <t xml:space="preserve">Chi họp hội đồng đánh giá, nghiệm thu </t>
  </si>
  <si>
    <t>Tổng cộng</t>
  </si>
  <si>
    <t>Cần Thơ, ngày 04 tháng 5 năm 2026</t>
  </si>
  <si>
    <t>CÁN BỘ HƯỚNG DẪN</t>
  </si>
  <si>
    <t>CHỦ NHIỆM ĐỀ TÀI</t>
  </si>
  <si>
    <t xml:space="preserve"> TS. Nguyễn Công Danh</t>
  </si>
  <si>
    <t>Trần Hoàng Phú</t>
  </si>
  <si>
    <t>TUQ. HIỆU TRƯỞNG</t>
  </si>
  <si>
    <t xml:space="preserve">TRƯỞNG PHÒNG KHOA HỌC, CÔNG NGHỆ </t>
  </si>
  <si>
    <t>VÀ ĐỔI MỚI SÁNG TẠO</t>
  </si>
  <si>
    <t>Mục 1. Chi tiền thù lao tham gia thực hiện đề tài</t>
  </si>
  <si>
    <t>STT</t>
  </si>
  <si>
    <t>Nội dung công việc, thù lao theo nhóm chức danh</t>
  </si>
  <si>
    <t>Họ và tên người 
thực hiện</t>
  </si>
  <si>
    <t>Hệ số lao động khoa học</t>
  </si>
  <si>
    <r>
      <rPr>
        <b/>
        <sz val="11"/>
        <color theme="1"/>
        <rFont val="Times New Roman"/>
        <charset val="134"/>
      </rPr>
      <t xml:space="preserve">TNCD
</t>
    </r>
    <r>
      <rPr>
        <i/>
        <sz val="11"/>
        <color theme="1"/>
        <rFont val="Times New Roman"/>
        <charset val="134"/>
      </rPr>
      <t>(tháng)</t>
    </r>
  </si>
  <si>
    <t>DMCN</t>
  </si>
  <si>
    <r>
      <rPr>
        <b/>
        <sz val="11"/>
        <color theme="1"/>
        <rFont val="Times New Roman"/>
        <charset val="134"/>
      </rPr>
      <t xml:space="preserve">Tổng thù lao thực hiện đề tài </t>
    </r>
    <r>
      <rPr>
        <sz val="11"/>
        <color theme="1"/>
        <rFont val="Times New Roman"/>
        <charset val="134"/>
      </rPr>
      <t>(</t>
    </r>
    <r>
      <rPr>
        <i/>
        <sz val="11"/>
        <color theme="1"/>
        <rFont val="Times New Roman"/>
        <charset val="134"/>
      </rPr>
      <t>đồng</t>
    </r>
    <r>
      <rPr>
        <sz val="11"/>
        <color theme="1"/>
        <rFont val="Times New Roman"/>
        <charset val="134"/>
      </rPr>
      <t>)</t>
    </r>
  </si>
  <si>
    <t>(6)=(4)*(5)*(6)</t>
  </si>
  <si>
    <t>I</t>
  </si>
  <si>
    <t>Thù lao của chủ nhiệm đề tài và thư ký khoa học của đề tài</t>
  </si>
  <si>
    <t>1.1</t>
  </si>
  <si>
    <t>Thù lao của chủ nhiệm đề tài</t>
  </si>
  <si>
    <t>1.2</t>
  </si>
  <si>
    <t>Thù lao của thư ký khoa học</t>
  </si>
  <si>
    <t>Châu Trường Phúc</t>
  </si>
  <si>
    <t>II.</t>
  </si>
  <si>
    <t>Nội dung nghiên cứu</t>
  </si>
  <si>
    <t>2.1</t>
  </si>
  <si>
    <t>Nội dung 1: Khảo sát, thu thập và phân tích dữ liệu về tiêu chí lựa chọn, khó khăn và hành vi tìm kiếm nhà trọ của sinh viên CTU.</t>
  </si>
  <si>
    <t>Thù lao thành viên chính</t>
  </si>
  <si>
    <t>Thù lao thành viên</t>
  </si>
  <si>
    <t>Võ Nhật Huy</t>
  </si>
  <si>
    <t>Đoàn Hồ Song Bảo</t>
  </si>
  <si>
    <t>Nguyễn Tấn Lợi</t>
  </si>
  <si>
    <t>2.2</t>
  </si>
  <si>
    <t>Nội dung 2: Phân tích yêu cầu và thiết kế tổng thể hệ thống</t>
  </si>
  <si>
    <t>2.4</t>
  </si>
  <si>
    <t>Nội dung 3: Nghiên cứu và xây dựng mô hình AI, thuật toán gợi ý đề xuất nhà trọ phù hợp với nhu cầu sinh viên.</t>
  </si>
  <si>
    <t>2.5</t>
  </si>
  <si>
    <t>Nội dung 4: Xây dựng giao diện website và hệ thống xử lý phía máy chủ (frontend, backend).</t>
  </si>
  <si>
    <t xml:space="preserve">Thù lao thành viên  </t>
  </si>
  <si>
    <t>Nội dung 5: Tích hợp bản đồ số và kết nối mô hình AI vào hệ thống.</t>
  </si>
  <si>
    <t>Nội dung 6: Triển khai các chức năng tương tác và hoàn thiện giao diện người
dùng.</t>
  </si>
  <si>
    <t>Nội dung 7: Kiểm thử, đánh giá hệ thống, triển khai thử nghiệm.</t>
  </si>
  <si>
    <t>TỔNG CỘNG:</t>
  </si>
  <si>
    <t xml:space="preserve">Mục 2. Chi mua vật tư, nguyên, nhiên, vật liệu </t>
  </si>
  <si>
    <t>Đơn vị 
tính</t>
  </si>
  <si>
    <t>Số 
lượng</t>
  </si>
  <si>
    <r>
      <rPr>
        <b/>
        <sz val="12"/>
        <rFont val="Times New Roman"/>
        <charset val="134"/>
      </rPr>
      <t>Đơn giá</t>
    </r>
    <r>
      <rPr>
        <b/>
        <i/>
        <sz val="12"/>
        <rFont val="Times New Roman"/>
        <charset val="134"/>
      </rPr>
      <t xml:space="preserve"> </t>
    </r>
    <r>
      <rPr>
        <i/>
        <sz val="12"/>
        <rFont val="Times New Roman"/>
        <charset val="134"/>
      </rPr>
      <t>(đồng)</t>
    </r>
  </si>
  <si>
    <r>
      <rPr>
        <b/>
        <sz val="12"/>
        <rFont val="Times New Roman"/>
        <charset val="134"/>
      </rPr>
      <t xml:space="preserve">Tổng kinh phí </t>
    </r>
    <r>
      <rPr>
        <i/>
        <sz val="12"/>
        <rFont val="Times New Roman"/>
        <charset val="134"/>
      </rPr>
      <t>(đồng)</t>
    </r>
  </si>
  <si>
    <t>(1)</t>
  </si>
  <si>
    <t>(2)</t>
  </si>
  <si>
    <t>(3)</t>
  </si>
  <si>
    <t>(4)</t>
  </si>
  <si>
    <t>(5)</t>
  </si>
  <si>
    <t>(6)=(4)*(5)</t>
  </si>
  <si>
    <t>Nguyên, vật liệu</t>
  </si>
  <si>
    <t>Dụng cụ, phụ tùng, vật rẻ tiền mau hỏng</t>
  </si>
  <si>
    <t>Hóa chất thí nghiệm</t>
  </si>
  <si>
    <t>3.1</t>
  </si>
  <si>
    <t>3.2</t>
  </si>
  <si>
    <t>Tổng cộng:</t>
  </si>
  <si>
    <t>Mục 3. Chi văn phòng phẩm, in ấn</t>
  </si>
  <si>
    <t>Nội dung</t>
  </si>
  <si>
    <r>
      <rPr>
        <b/>
        <sz val="12"/>
        <rFont val="Times New Roman"/>
        <charset val="134"/>
      </rPr>
      <t xml:space="preserve">Đơn giá </t>
    </r>
    <r>
      <rPr>
        <i/>
        <sz val="12"/>
        <rFont val="Times New Roman"/>
        <charset val="134"/>
      </rPr>
      <t>(đồng)</t>
    </r>
  </si>
  <si>
    <r>
      <rPr>
        <b/>
        <sz val="12"/>
        <rFont val="Times New Roman"/>
        <charset val="134"/>
      </rPr>
      <t xml:space="preserve">Thành tiền </t>
    </r>
    <r>
      <rPr>
        <i/>
        <sz val="12"/>
        <rFont val="Times New Roman"/>
        <charset val="134"/>
      </rPr>
      <t>(đồng)</t>
    </r>
  </si>
  <si>
    <t>Viết</t>
  </si>
  <si>
    <t>Cây</t>
  </si>
  <si>
    <t>Giấy A4</t>
  </si>
  <si>
    <t>Gram</t>
  </si>
  <si>
    <t xml:space="preserve">Mục 4. Chi họp hội đồng đánh giá, nghiệm thu </t>
  </si>
  <si>
    <t>Đơn vị tính</t>
  </si>
  <si>
    <t>Số lượng</t>
  </si>
  <si>
    <r>
      <rPr>
        <b/>
        <sz val="12"/>
        <rFont val="Times New Roman"/>
        <charset val="134"/>
      </rPr>
      <t xml:space="preserve">Đơn giá*
</t>
    </r>
    <r>
      <rPr>
        <i/>
        <sz val="12"/>
        <rFont val="Times New Roman"/>
        <charset val="134"/>
      </rPr>
      <t>(đồng)</t>
    </r>
  </si>
  <si>
    <t>Chủ tịch Hội đồng</t>
  </si>
  <si>
    <t>Người</t>
  </si>
  <si>
    <t>Phản biện</t>
  </si>
  <si>
    <t>Thư ký khoa học-Ủy viên hội đồng</t>
  </si>
  <si>
    <t>Ủy viên Hội đồng</t>
  </si>
  <si>
    <t>Thư ký hành chính</t>
  </si>
  <si>
    <t>Nhận xét đánh giá của Ủy viên Hội đồng</t>
  </si>
  <si>
    <t>Phiếu</t>
  </si>
  <si>
    <t>Nhận xét của Ủy viên phản biện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</si>
</sst>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  <numFmt numFmtId="178" formatCode="0_);\(0\)"/>
  </numFmts>
  <fonts count="46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i/>
      <sz val="12"/>
      <color theme="1"/>
      <name val="Times New Roman"/>
      <charset val="134"/>
    </font>
    <font>
      <i/>
      <sz val="12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i/>
      <sz val="11"/>
      <color rgb="FF000000"/>
      <name val="Times New Roman"/>
      <charset val="134"/>
    </font>
    <font>
      <i/>
      <sz val="10"/>
      <color rgb="FF000000"/>
      <name val="Times New Roman"/>
      <charset val="134"/>
    </font>
    <font>
      <sz val="11"/>
      <color theme="1"/>
      <name val="Times New Roman"/>
      <charset val="134"/>
    </font>
    <font>
      <b/>
      <i/>
      <sz val="11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name val="Times New Roman"/>
      <charset val="134"/>
    </font>
    <font>
      <b/>
      <sz val="13"/>
      <name val="Times New Roman"/>
      <charset val="134"/>
    </font>
    <font>
      <b/>
      <sz val="11"/>
      <color rgb="FF0000FF"/>
      <name val="Times New Roman"/>
      <charset val="134"/>
    </font>
    <font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i/>
      <sz val="12"/>
      <name val="Times New Roman"/>
      <charset val="134"/>
    </font>
    <font>
      <i/>
      <sz val="11"/>
      <color theme="1"/>
      <name val="Times New Roman"/>
      <charset val="134"/>
    </font>
    <font>
      <sz val="9"/>
      <name val="Tahoma"/>
      <charset val="134"/>
    </font>
    <font>
      <b/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2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4" borderId="9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5" borderId="12" applyNumberFormat="0" applyAlignment="0" applyProtection="0">
      <alignment vertical="center"/>
    </xf>
    <xf numFmtId="0" fontId="31" fillId="6" borderId="13" applyNumberFormat="0" applyAlignment="0" applyProtection="0">
      <alignment vertical="center"/>
    </xf>
    <xf numFmtId="0" fontId="32" fillId="6" borderId="12" applyNumberFormat="0" applyAlignment="0" applyProtection="0">
      <alignment vertical="center"/>
    </xf>
    <xf numFmtId="0" fontId="33" fillId="7" borderId="14" applyNumberFormat="0" applyAlignment="0" applyProtection="0">
      <alignment vertical="center"/>
    </xf>
    <xf numFmtId="0" fontId="34" fillId="0" borderId="15" applyNumberFormat="0" applyFill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1" fillId="0" borderId="0"/>
  </cellStyleXfs>
  <cellXfs count="115">
    <xf numFmtId="0" fontId="0" fillId="0" borderId="0" xfId="0"/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1" fillId="0" borderId="0" xfId="0" applyFont="1" applyProtection="1">
      <protection locked="0"/>
    </xf>
    <xf numFmtId="1" fontId="3" fillId="2" borderId="0" xfId="0" applyNumberFormat="1" applyFont="1" applyFill="1" applyAlignment="1" applyProtection="1">
      <alignment horizontal="center" vertical="center"/>
      <protection locked="0"/>
    </xf>
    <xf numFmtId="0" fontId="3" fillId="2" borderId="1" xfId="49" applyFont="1" applyFill="1" applyBorder="1" applyAlignment="1" applyProtection="1">
      <alignment horizontal="center" vertical="center" wrapText="1"/>
      <protection locked="0"/>
    </xf>
    <xf numFmtId="0" fontId="3" fillId="2" borderId="2" xfId="49" applyFont="1" applyFill="1" applyBorder="1" applyAlignment="1" applyProtection="1">
      <alignment horizontal="center" vertical="center" wrapText="1"/>
      <protection locked="0"/>
    </xf>
    <xf numFmtId="0" fontId="3" fillId="2" borderId="3" xfId="49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1" fontId="4" fillId="2" borderId="1" xfId="0" applyNumberFormat="1" applyFont="1" applyFill="1" applyBorder="1" applyAlignment="1" applyProtection="1">
      <alignment horizontal="left" vertical="center" wrapText="1"/>
      <protection locked="0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3" fontId="1" fillId="2" borderId="1" xfId="0" applyNumberFormat="1" applyFont="1" applyFill="1" applyBorder="1" applyAlignment="1" applyProtection="1">
      <alignment horizontal="right"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3" fontId="2" fillId="2" borderId="1" xfId="0" applyNumberFormat="1" applyFont="1" applyFill="1" applyBorder="1" applyAlignment="1">
      <alignment horizontal="right" vertical="center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1" fontId="3" fillId="2" borderId="7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6" fillId="2" borderId="3" xfId="49" applyFont="1" applyFill="1" applyBorder="1" applyAlignment="1" applyProtection="1">
      <alignment horizontal="center" vertical="center" wrapText="1"/>
      <protection locked="0"/>
    </xf>
    <xf numFmtId="0" fontId="4" fillId="2" borderId="1" xfId="49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right" vertical="center" wrapText="1"/>
    </xf>
    <xf numFmtId="3" fontId="4" fillId="2" borderId="1" xfId="49" applyNumberFormat="1" applyFont="1" applyFill="1" applyBorder="1" applyAlignment="1" applyProtection="1">
      <alignment horizontal="right" vertical="top"/>
      <protection locked="0"/>
    </xf>
    <xf numFmtId="0" fontId="3" fillId="2" borderId="1" xfId="49" applyFont="1" applyFill="1" applyBorder="1" applyAlignment="1" applyProtection="1">
      <alignment horizontal="center"/>
      <protection locked="0"/>
    </xf>
    <xf numFmtId="0" fontId="4" fillId="2" borderId="1" xfId="49" applyFont="1" applyFill="1" applyBorder="1" applyProtection="1">
      <protection locked="0"/>
    </xf>
    <xf numFmtId="0" fontId="4" fillId="2" borderId="1" xfId="49" applyFont="1" applyFill="1" applyBorder="1" applyAlignment="1" applyProtection="1">
      <alignment horizontal="center"/>
      <protection locked="0"/>
    </xf>
    <xf numFmtId="3" fontId="3" fillId="2" borderId="1" xfId="49" applyNumberFormat="1" applyFont="1" applyFill="1" applyBorder="1" applyAlignment="1">
      <alignment horizontal="right"/>
    </xf>
    <xf numFmtId="0" fontId="3" fillId="2" borderId="7" xfId="49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3" fillId="2" borderId="1" xfId="49" applyFont="1" applyFill="1" applyBorder="1" applyAlignment="1" applyProtection="1">
      <alignment horizontal="center" vertical="center"/>
      <protection locked="0"/>
    </xf>
    <xf numFmtId="0" fontId="3" fillId="2" borderId="1" xfId="49" applyFont="1" applyFill="1" applyBorder="1" applyAlignment="1" applyProtection="1">
      <alignment horizontal="justify" vertical="center" wrapText="1"/>
      <protection locked="0"/>
    </xf>
    <xf numFmtId="0" fontId="4" fillId="2" borderId="1" xfId="49" applyFont="1" applyFill="1" applyBorder="1" applyAlignment="1" applyProtection="1">
      <alignment horizontal="center" vertical="top"/>
      <protection locked="0"/>
    </xf>
    <xf numFmtId="177" fontId="4" fillId="2" borderId="1" xfId="1" applyNumberFormat="1" applyFont="1" applyFill="1" applyBorder="1" applyAlignment="1" applyProtection="1">
      <alignment horizontal="center" vertical="top"/>
      <protection locked="0"/>
    </xf>
    <xf numFmtId="177" fontId="3" fillId="2" borderId="1" xfId="1" applyNumberFormat="1" applyFont="1" applyFill="1" applyBorder="1" applyAlignment="1">
      <alignment horizontal="right" vertical="top"/>
    </xf>
    <xf numFmtId="49" fontId="4" fillId="2" borderId="1" xfId="49" applyNumberFormat="1" applyFont="1" applyFill="1" applyBorder="1" applyAlignment="1" applyProtection="1">
      <alignment horizontal="center" vertical="center"/>
      <protection locked="0"/>
    </xf>
    <xf numFmtId="0" fontId="4" fillId="2" borderId="1" xfId="49" applyFont="1" applyFill="1" applyBorder="1" applyAlignment="1" applyProtection="1">
      <alignment horizontal="justify" vertical="center" wrapText="1"/>
      <protection locked="0"/>
    </xf>
    <xf numFmtId="177" fontId="4" fillId="2" borderId="1" xfId="1" applyNumberFormat="1" applyFont="1" applyFill="1" applyBorder="1" applyAlignment="1">
      <alignment horizontal="right" vertical="top"/>
    </xf>
    <xf numFmtId="0" fontId="4" fillId="2" borderId="1" xfId="49" applyFont="1" applyFill="1" applyBorder="1" applyAlignment="1" applyProtection="1">
      <alignment horizontal="center" vertical="top" wrapText="1"/>
      <protection locked="0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3" fillId="2" borderId="1" xfId="49" applyFont="1" applyFill="1" applyBorder="1" applyProtection="1">
      <protection locked="0"/>
    </xf>
    <xf numFmtId="0" fontId="3" fillId="2" borderId="1" xfId="49" applyFont="1" applyFill="1" applyBorder="1" applyAlignment="1" applyProtection="1">
      <alignment horizontal="center" vertical="top"/>
      <protection locked="0"/>
    </xf>
    <xf numFmtId="177" fontId="3" fillId="2" borderId="1" xfId="1" applyNumberFormat="1" applyFont="1" applyFill="1" applyBorder="1" applyAlignment="1" applyProtection="1">
      <alignment horizontal="center" vertical="top"/>
      <protection locked="0"/>
    </xf>
    <xf numFmtId="177" fontId="3" fillId="2" borderId="1" xfId="1" applyNumberFormat="1" applyFont="1" applyFill="1" applyBorder="1" applyAlignment="1">
      <alignment horizontal="right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78" fontId="9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 wrapText="1"/>
    </xf>
    <xf numFmtId="3" fontId="8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3" fontId="11" fillId="3" borderId="1" xfId="0" applyNumberFormat="1" applyFont="1" applyFill="1" applyBorder="1" applyAlignment="1">
      <alignment horizontal="right" vertical="center" wrapText="1"/>
    </xf>
    <xf numFmtId="3" fontId="12" fillId="0" borderId="1" xfId="0" applyNumberFormat="1" applyFont="1" applyBorder="1" applyAlignment="1">
      <alignment horizontal="right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3" fontId="2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 applyProtection="1">
      <alignment vertical="top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11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vertical="top"/>
      <protection locked="0"/>
    </xf>
    <xf numFmtId="0" fontId="14" fillId="0" borderId="0" xfId="0" applyFont="1" applyAlignment="1" applyProtection="1">
      <alignment vertical="top"/>
      <protection locked="0"/>
    </xf>
    <xf numFmtId="0" fontId="14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top"/>
      <protection locked="0"/>
    </xf>
    <xf numFmtId="0" fontId="11" fillId="0" borderId="0" xfId="0" applyFont="1" applyAlignment="1" applyProtection="1">
      <alignment vertical="top" wrapText="1"/>
      <protection locked="0"/>
    </xf>
    <xf numFmtId="0" fontId="11" fillId="0" borderId="0" xfId="0" applyFont="1" applyAlignment="1" applyProtection="1">
      <alignment vertical="top"/>
      <protection locked="0"/>
    </xf>
    <xf numFmtId="0" fontId="11" fillId="0" borderId="0" xfId="0" applyFont="1" applyAlignment="1" applyProtection="1">
      <alignment horizontal="center" vertical="top"/>
      <protection locked="0"/>
    </xf>
    <xf numFmtId="0" fontId="8" fillId="0" borderId="0" xfId="0" applyFont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center" vertical="top" wrapText="1"/>
      <protection locked="0"/>
    </xf>
    <xf numFmtId="0" fontId="15" fillId="0" borderId="0" xfId="0" applyFont="1" applyAlignment="1" applyProtection="1">
      <alignment horizontal="center" vertical="top"/>
      <protection locked="0"/>
    </xf>
    <xf numFmtId="0" fontId="15" fillId="0" borderId="0" xfId="0" applyFont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2" borderId="1" xfId="0" applyFont="1" applyFill="1" applyBorder="1" applyAlignment="1" applyProtection="1">
      <alignment horizontal="left" vertical="center" wrapText="1"/>
      <protection locked="0"/>
    </xf>
    <xf numFmtId="3" fontId="17" fillId="2" borderId="1" xfId="0" applyNumberFormat="1" applyFont="1" applyFill="1" applyBorder="1" applyAlignment="1">
      <alignment horizontal="right" vertical="center"/>
    </xf>
    <xf numFmtId="9" fontId="17" fillId="2" borderId="1" xfId="3" applyFont="1" applyFill="1" applyBorder="1" applyAlignment="1">
      <alignment horizontal="right" vertical="center"/>
    </xf>
    <xf numFmtId="0" fontId="18" fillId="0" borderId="1" xfId="0" applyFont="1" applyBorder="1" applyAlignment="1" applyProtection="1">
      <alignment horizontal="center" vertical="center"/>
      <protection locked="0"/>
    </xf>
    <xf numFmtId="0" fontId="18" fillId="2" borderId="1" xfId="0" applyFont="1" applyFill="1" applyBorder="1" applyAlignment="1" applyProtection="1">
      <alignment vertical="center" wrapText="1"/>
      <protection locked="0"/>
    </xf>
    <xf numFmtId="3" fontId="18" fillId="2" borderId="1" xfId="0" applyNumberFormat="1" applyFont="1" applyFill="1" applyBorder="1" applyAlignment="1" applyProtection="1">
      <alignment vertical="center"/>
      <protection locked="0"/>
    </xf>
    <xf numFmtId="9" fontId="18" fillId="2" borderId="1" xfId="3" applyFont="1" applyFill="1" applyBorder="1" applyAlignment="1">
      <alignment vertical="center"/>
    </xf>
    <xf numFmtId="3" fontId="18" fillId="2" borderId="1" xfId="0" applyNumberFormat="1" applyFont="1" applyFill="1" applyBorder="1" applyAlignment="1">
      <alignment vertical="center"/>
    </xf>
    <xf numFmtId="0" fontId="19" fillId="0" borderId="0" xfId="0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11" fillId="0" borderId="0" xfId="0" applyFont="1" applyProtection="1">
      <protection locked="0"/>
    </xf>
    <xf numFmtId="0" fontId="20" fillId="0" borderId="0" xfId="0" applyFont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 quotePrefix="1">
      <alignment horizontal="center" vertical="center"/>
      <protection locked="0"/>
    </xf>
    <xf numFmtId="0" fontId="5" fillId="0" borderId="3" xfId="0" applyFont="1" applyBorder="1" applyAlignment="1" applyProtection="1" quotePrefix="1">
      <alignment horizontal="center" vertical="center" wrapText="1"/>
      <protection locked="0"/>
    </xf>
    <xf numFmtId="0" fontId="6" fillId="2" borderId="3" xfId="49" applyFont="1" applyFill="1" applyBorder="1" applyAlignment="1" applyProtection="1" quotePrefix="1">
      <alignment horizontal="center" vertical="center" wrapText="1"/>
      <protection locked="0"/>
    </xf>
    <xf numFmtId="0" fontId="5" fillId="2" borderId="3" xfId="0" applyFont="1" applyFill="1" applyBorder="1" applyAlignment="1" applyProtection="1" quotePrefix="1">
      <alignment horizontal="center" vertical="center"/>
      <protection locked="0"/>
    </xf>
    <xf numFmtId="0" fontId="5" fillId="2" borderId="3" xfId="0" applyFont="1" applyFill="1" applyBorder="1" applyAlignment="1" applyProtection="1" quotePrefix="1">
      <alignment horizontal="center" vertical="center" wrapText="1"/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colors>
    <mruColors>
      <color rgb="000000FF"/>
      <color rgb="00CC00FF"/>
      <color rgb="00FFFF66"/>
      <color rgb="00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topLeftCell="A12" workbookViewId="0">
      <selection activeCell="C29" sqref="C29:E29"/>
    </sheetView>
  </sheetViews>
  <sheetFormatPr defaultColWidth="9.18095238095238" defaultRowHeight="15" outlineLevelCol="5"/>
  <cols>
    <col min="1" max="1" width="5" style="89" customWidth="1"/>
    <col min="2" max="2" width="43.3619047619048" style="90" customWidth="1"/>
    <col min="3" max="3" width="15" style="91" customWidth="1"/>
    <col min="4" max="4" width="10.0857142857143" customWidth="1"/>
    <col min="5" max="5" width="15.1809523809524" style="91" customWidth="1"/>
    <col min="6" max="16384" width="9.18095238095238" style="91"/>
  </cols>
  <sheetData>
    <row r="1" spans="1:5">
      <c r="A1" s="92" t="s">
        <v>0</v>
      </c>
      <c r="B1" s="92"/>
    </row>
    <row r="2" spans="1:5">
      <c r="A2" s="93" t="s">
        <v>1</v>
      </c>
      <c r="B2" s="93"/>
    </row>
    <row r="3" ht="7" customHeight="1"/>
    <row r="4" s="82" customFormat="1" ht="37" customHeight="1" spans="1:5">
      <c r="A4" s="94" t="s">
        <v>2</v>
      </c>
      <c r="B4" s="94"/>
      <c r="C4" s="94"/>
      <c r="D4" s="94"/>
      <c r="E4" s="94"/>
    </row>
    <row r="5" s="82" customFormat="1" ht="8" customHeight="1" spans="1:5">
      <c r="A5" s="95"/>
      <c r="B5" s="95"/>
      <c r="C5" s="95"/>
      <c r="D5" s="95"/>
      <c r="E5" s="95"/>
    </row>
    <row r="6" s="83" customFormat="1" ht="20" customHeight="1" spans="1:5">
      <c r="A6" s="96" t="s">
        <v>3</v>
      </c>
      <c r="B6" s="96"/>
      <c r="C6" s="96"/>
      <c r="D6" s="96"/>
      <c r="E6" s="96"/>
    </row>
    <row r="7" s="84" customFormat="1" ht="59.5" customHeight="1" spans="1:5">
      <c r="A7" s="97" t="s">
        <v>4</v>
      </c>
      <c r="B7" s="97"/>
      <c r="C7" s="97"/>
      <c r="D7" s="97"/>
      <c r="E7" s="97"/>
    </row>
    <row r="8" s="84" customFormat="1" ht="20" customHeight="1" spans="1:5">
      <c r="A8" s="97" t="s">
        <v>5</v>
      </c>
      <c r="B8" s="97"/>
      <c r="C8" s="97"/>
      <c r="D8" s="97"/>
      <c r="E8" s="97"/>
    </row>
    <row r="9" s="84" customFormat="1" ht="20" customHeight="1" spans="1:5">
      <c r="B9" s="97" t="s">
        <v>6</v>
      </c>
      <c r="C9" s="97"/>
      <c r="D9" s="97"/>
      <c r="E9" s="97"/>
    </row>
    <row r="10" s="84" customFormat="1" ht="20" customHeight="1" spans="1:5">
      <c r="B10" s="97" t="s">
        <v>7</v>
      </c>
      <c r="C10" s="97"/>
      <c r="D10" s="97"/>
      <c r="E10" s="97"/>
    </row>
    <row r="11" s="84" customFormat="1" ht="20" customHeight="1" spans="1:5">
      <c r="B11" s="97" t="s">
        <v>8</v>
      </c>
      <c r="C11" s="97"/>
      <c r="D11" s="97"/>
      <c r="E11" s="97"/>
    </row>
    <row r="12" s="84" customFormat="1" ht="20" customHeight="1" spans="1:5">
      <c r="A12" s="97" t="s">
        <v>9</v>
      </c>
      <c r="B12" s="97"/>
      <c r="C12" s="97"/>
      <c r="D12" s="97"/>
      <c r="E12" s="97"/>
    </row>
    <row r="13" s="84" customFormat="1" ht="20" customHeight="1" spans="1:5">
      <c r="A13" s="97" t="s">
        <v>10</v>
      </c>
      <c r="B13" s="97"/>
      <c r="C13" s="97"/>
      <c r="D13" s="97"/>
      <c r="E13" s="97"/>
    </row>
    <row r="15" s="85" customFormat="1" ht="33" spans="1:5">
      <c r="A15" s="98" t="s">
        <v>11</v>
      </c>
      <c r="B15" s="99" t="s">
        <v>12</v>
      </c>
      <c r="C15" s="99" t="s">
        <v>13</v>
      </c>
      <c r="D15" s="99"/>
      <c r="E15" s="99" t="s">
        <v>14</v>
      </c>
    </row>
    <row r="16" s="85" customFormat="1" ht="33" spans="1:5">
      <c r="A16" s="98"/>
      <c r="B16" s="99"/>
      <c r="C16" s="99" t="s">
        <v>15</v>
      </c>
      <c r="D16" s="99" t="s">
        <v>16</v>
      </c>
      <c r="E16" s="98" t="s">
        <v>17</v>
      </c>
    </row>
    <row r="17" s="86" customFormat="1" ht="30" customHeight="1" spans="1:6">
      <c r="A17" s="100">
        <v>1</v>
      </c>
      <c r="B17" s="101" t="s">
        <v>18</v>
      </c>
      <c r="C17" s="102">
        <f>'1.Thu lao'!G44</f>
        <v>12000000</v>
      </c>
      <c r="D17" s="103">
        <f>C17/$C$21</f>
        <v>0.8</v>
      </c>
      <c r="E17" s="102">
        <f>C17</f>
        <v>12000000</v>
      </c>
    </row>
    <row r="18" s="87" customFormat="1" ht="30" customHeight="1" spans="1:6">
      <c r="A18" s="100">
        <v>2</v>
      </c>
      <c r="B18" s="101" t="s">
        <v>19</v>
      </c>
      <c r="C18" s="102">
        <f>'2.Nguyen_vat_lieu'!F14</f>
        <v>0</v>
      </c>
      <c r="D18" s="103">
        <f t="shared" ref="D18:D20" si="0">C18/$C$21</f>
        <v>0</v>
      </c>
      <c r="E18" s="102">
        <f t="shared" ref="E18:E20" si="1">C18</f>
        <v>0</v>
      </c>
    </row>
    <row r="19" s="87" customFormat="1" ht="30" customHeight="1" spans="1:6">
      <c r="A19" s="100">
        <v>3</v>
      </c>
      <c r="B19" s="101" t="s">
        <v>20</v>
      </c>
      <c r="C19" s="102">
        <f>'3.VPP_in an'!F7</f>
        <v>275000</v>
      </c>
      <c r="D19" s="103">
        <f t="shared" si="0"/>
        <v>0.0183333333333333</v>
      </c>
      <c r="E19" s="102">
        <f t="shared" si="1"/>
        <v>275000</v>
      </c>
    </row>
    <row r="20" s="87" customFormat="1" ht="30" customHeight="1" spans="1:6">
      <c r="A20" s="100">
        <v>4</v>
      </c>
      <c r="B20" s="101" t="s">
        <v>21</v>
      </c>
      <c r="C20" s="102">
        <f>'4. HĐ nghiem thu'!F11</f>
        <v>2725000</v>
      </c>
      <c r="D20" s="103">
        <f t="shared" si="0"/>
        <v>0.181666666666667</v>
      </c>
      <c r="E20" s="102">
        <f t="shared" si="1"/>
        <v>2725000</v>
      </c>
    </row>
    <row r="21" s="88" customFormat="1" ht="30" customHeight="1" spans="1:6">
      <c r="A21" s="104"/>
      <c r="B21" s="105" t="s">
        <v>22</v>
      </c>
      <c r="C21" s="106">
        <f>SUM(C17:C20)</f>
        <v>15000000</v>
      </c>
      <c r="D21" s="107">
        <f>SUM(D17:D20)</f>
        <v>1</v>
      </c>
      <c r="E21" s="108">
        <f>SUM(E17:E20)</f>
        <v>15000000</v>
      </c>
      <c r="F21" s="109"/>
    </row>
    <row r="22" ht="9.5" customHeight="1" spans="1:6">
      <c r="A22" s="110"/>
      <c r="B22" s="110"/>
      <c r="C22" s="110"/>
      <c r="D22" s="111"/>
      <c r="E22" s="111"/>
    </row>
    <row r="23" ht="16.5" spans="1:6">
      <c r="A23" s="110"/>
      <c r="B23" s="110"/>
      <c r="C23" s="112" t="s">
        <v>23</v>
      </c>
      <c r="D23" s="112"/>
      <c r="E23" s="112"/>
    </row>
    <row r="24" ht="16.5" spans="1:6">
      <c r="A24" s="113" t="s">
        <v>24</v>
      </c>
      <c r="B24" s="113"/>
      <c r="C24" s="113" t="s">
        <v>25</v>
      </c>
      <c r="D24" s="113"/>
      <c r="E24" s="113"/>
    </row>
    <row r="29" ht="14.5" customHeight="1" spans="1:6">
      <c r="A29" s="114" t="s">
        <v>26</v>
      </c>
      <c r="B29" s="114"/>
      <c r="C29" s="93" t="s">
        <v>27</v>
      </c>
      <c r="D29" s="93"/>
      <c r="E29" s="93"/>
    </row>
    <row r="30" ht="8" customHeight="1"/>
    <row r="31" ht="17" customHeight="1" spans="1:6">
      <c r="A31" s="95" t="s">
        <v>28</v>
      </c>
      <c r="B31" s="95"/>
      <c r="C31" s="95"/>
      <c r="D31" s="95"/>
      <c r="E31" s="95"/>
    </row>
    <row r="32" ht="17" customHeight="1" spans="1:6">
      <c r="A32" s="94" t="s">
        <v>29</v>
      </c>
      <c r="B32" s="95"/>
      <c r="C32" s="95"/>
      <c r="D32" s="95"/>
      <c r="E32" s="95"/>
    </row>
    <row r="33" ht="17" customHeight="1" spans="1:5">
      <c r="A33" s="94" t="s">
        <v>30</v>
      </c>
      <c r="B33" s="95"/>
      <c r="C33" s="95"/>
      <c r="D33" s="95"/>
      <c r="E33" s="95"/>
    </row>
  </sheetData>
  <mergeCells count="22">
    <mergeCell ref="A1:B1"/>
    <mergeCell ref="A2:B2"/>
    <mergeCell ref="A4:E4"/>
    <mergeCell ref="A6:E6"/>
    <mergeCell ref="A7:E7"/>
    <mergeCell ref="A8:E8"/>
    <mergeCell ref="B9:E9"/>
    <mergeCell ref="B10:E10"/>
    <mergeCell ref="B11:E11"/>
    <mergeCell ref="A12:E12"/>
    <mergeCell ref="A13:E13"/>
    <mergeCell ref="C15:D15"/>
    <mergeCell ref="C23:E23"/>
    <mergeCell ref="A24:B24"/>
    <mergeCell ref="C24:E24"/>
    <mergeCell ref="A29:B29"/>
    <mergeCell ref="C29:E29"/>
    <mergeCell ref="A31:E31"/>
    <mergeCell ref="A32:E32"/>
    <mergeCell ref="A33:E33"/>
    <mergeCell ref="A15:A16"/>
    <mergeCell ref="B15:B16"/>
  </mergeCells>
  <printOptions horizontalCentered="1"/>
  <pageMargins left="0.6" right="0.6" top="0.6" bottom="0.6" header="0.0393700787401575" footer="0.039370078740157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topLeftCell="A20" workbookViewId="0">
      <selection activeCell="B38" sqref="B38:F38"/>
    </sheetView>
  </sheetViews>
  <sheetFormatPr defaultColWidth="9.18095238095238" defaultRowHeight="15.75" outlineLevelCol="6"/>
  <cols>
    <col min="1" max="1" width="4.54285714285714" style="52" customWidth="1"/>
    <col min="2" max="2" width="25.4571428571429" style="52" customWidth="1"/>
    <col min="3" max="3" width="21.6285714285714" style="52" customWidth="1"/>
    <col min="4" max="4" width="8.90476190476191" style="52" customWidth="1"/>
    <col min="5" max="5" width="7.08571428571429" style="52" customWidth="1"/>
    <col min="6" max="6" width="10.8190476190476" style="53" customWidth="1"/>
    <col min="7" max="7" width="13" style="52" customWidth="1"/>
    <col min="8" max="16384" width="9.18095238095238" style="52"/>
  </cols>
  <sheetData>
    <row r="1" ht="28" customHeight="1" spans="1:7">
      <c r="A1" s="54" t="s">
        <v>31</v>
      </c>
      <c r="B1" s="54"/>
      <c r="C1" s="54"/>
      <c r="D1" s="54"/>
      <c r="E1" s="54"/>
      <c r="F1" s="54"/>
      <c r="G1" s="54"/>
    </row>
    <row r="2" ht="16.5" customHeight="1" spans="1:7">
      <c r="A2" s="55" t="s">
        <v>32</v>
      </c>
      <c r="B2" s="55" t="s">
        <v>33</v>
      </c>
      <c r="C2" s="55" t="s">
        <v>34</v>
      </c>
      <c r="D2" s="55" t="s">
        <v>35</v>
      </c>
      <c r="E2" s="55" t="s">
        <v>36</v>
      </c>
      <c r="F2" s="55" t="s">
        <v>37</v>
      </c>
      <c r="G2" s="55" t="s">
        <v>38</v>
      </c>
    </row>
    <row r="3" ht="48" customHeight="1" spans="1:7">
      <c r="A3" s="55"/>
      <c r="B3" s="55"/>
      <c r="C3" s="55"/>
      <c r="D3" s="55"/>
      <c r="E3" s="55"/>
      <c r="F3" s="55"/>
      <c r="G3" s="55"/>
    </row>
    <row r="4" spans="1:7">
      <c r="A4" s="56">
        <v>-1</v>
      </c>
      <c r="B4" s="56">
        <v>-2</v>
      </c>
      <c r="C4" s="56">
        <v>-3</v>
      </c>
      <c r="D4" s="56">
        <v>-4</v>
      </c>
      <c r="E4" s="56"/>
      <c r="F4" s="56">
        <v>-5</v>
      </c>
      <c r="G4" s="57" t="s">
        <v>39</v>
      </c>
    </row>
    <row r="5" ht="18" customHeight="1" spans="1:7">
      <c r="A5" s="55" t="s">
        <v>40</v>
      </c>
      <c r="B5" s="58" t="s">
        <v>41</v>
      </c>
      <c r="C5" s="58"/>
      <c r="D5" s="58"/>
      <c r="E5" s="58"/>
      <c r="F5" s="59"/>
      <c r="G5" s="60"/>
    </row>
    <row r="6" ht="18" customHeight="1" spans="1:7">
      <c r="A6" s="61" t="s">
        <v>42</v>
      </c>
      <c r="B6" s="62" t="s">
        <v>43</v>
      </c>
      <c r="C6" s="62" t="s">
        <v>27</v>
      </c>
      <c r="D6" s="61">
        <v>1</v>
      </c>
      <c r="E6" s="46">
        <v>1.2</v>
      </c>
      <c r="F6" s="63">
        <v>1500000</v>
      </c>
      <c r="G6" s="63">
        <f>D6*E6*F6</f>
        <v>1800000</v>
      </c>
    </row>
    <row r="7" ht="18" customHeight="1" spans="1:7">
      <c r="A7" s="61" t="s">
        <v>44</v>
      </c>
      <c r="B7" s="62" t="s">
        <v>45</v>
      </c>
      <c r="C7" s="62" t="s">
        <v>46</v>
      </c>
      <c r="D7" s="61">
        <v>0.3</v>
      </c>
      <c r="E7" s="46">
        <v>1.2</v>
      </c>
      <c r="F7" s="63">
        <v>1500000</v>
      </c>
      <c r="G7" s="63">
        <f>D7*E7*F7</f>
        <v>540000</v>
      </c>
    </row>
    <row r="8" ht="18" customHeight="1" spans="1:7">
      <c r="A8" s="55" t="s">
        <v>47</v>
      </c>
      <c r="B8" s="58" t="s">
        <v>48</v>
      </c>
      <c r="C8" s="58"/>
      <c r="D8" s="58"/>
      <c r="E8" s="58"/>
      <c r="F8" s="58"/>
      <c r="G8" s="60"/>
    </row>
    <row r="9" ht="36" customHeight="1" spans="1:7">
      <c r="A9" s="61" t="s">
        <v>49</v>
      </c>
      <c r="B9" s="58" t="s">
        <v>50</v>
      </c>
      <c r="C9" s="58"/>
      <c r="D9" s="58"/>
      <c r="E9" s="58"/>
      <c r="F9" s="58"/>
      <c r="G9" s="64"/>
    </row>
    <row r="10" ht="18" customHeight="1" spans="1:7">
      <c r="A10" s="61"/>
      <c r="B10" s="62" t="s">
        <v>51</v>
      </c>
      <c r="C10" s="45" t="s">
        <v>27</v>
      </c>
      <c r="D10" s="61">
        <v>0.8</v>
      </c>
      <c r="E10" s="61">
        <v>0.4</v>
      </c>
      <c r="F10" s="63">
        <v>1500000</v>
      </c>
      <c r="G10" s="63">
        <f>F10*E10*D10</f>
        <v>480000</v>
      </c>
    </row>
    <row r="11" ht="18" customHeight="1" spans="1:7">
      <c r="A11" s="61"/>
      <c r="B11" s="62" t="s">
        <v>52</v>
      </c>
      <c r="C11" s="62" t="s">
        <v>46</v>
      </c>
      <c r="D11" s="61">
        <v>0.4</v>
      </c>
      <c r="E11" s="61">
        <v>0.4</v>
      </c>
      <c r="F11" s="63">
        <v>1500000</v>
      </c>
      <c r="G11" s="63">
        <f>F11*E11*D11</f>
        <v>240000</v>
      </c>
    </row>
    <row r="12" ht="18" customHeight="1" spans="1:7">
      <c r="A12" s="61"/>
      <c r="B12" s="62" t="s">
        <v>52</v>
      </c>
      <c r="C12" s="62" t="s">
        <v>53</v>
      </c>
      <c r="D12" s="61">
        <v>0.4</v>
      </c>
      <c r="E12" s="61">
        <v>0.4</v>
      </c>
      <c r="F12" s="63">
        <v>1500000</v>
      </c>
      <c r="G12" s="63">
        <f>F12*E12*D12</f>
        <v>240000</v>
      </c>
    </row>
    <row r="13" ht="18" customHeight="1" spans="1:7">
      <c r="A13" s="61"/>
      <c r="B13" s="62" t="s">
        <v>52</v>
      </c>
      <c r="C13" s="62" t="s">
        <v>54</v>
      </c>
      <c r="D13" s="61">
        <v>0.4</v>
      </c>
      <c r="E13" s="61">
        <v>0.4</v>
      </c>
      <c r="F13" s="63">
        <v>1500000</v>
      </c>
      <c r="G13" s="63">
        <f>F13*E13*D13</f>
        <v>240000</v>
      </c>
    </row>
    <row r="14" ht="18" customHeight="1" spans="1:7">
      <c r="A14" s="61"/>
      <c r="B14" s="62" t="s">
        <v>52</v>
      </c>
      <c r="C14" s="62" t="s">
        <v>55</v>
      </c>
      <c r="D14" s="61">
        <v>0.4</v>
      </c>
      <c r="E14" s="61">
        <v>0.4</v>
      </c>
      <c r="F14" s="63">
        <v>1500000</v>
      </c>
      <c r="G14" s="63">
        <f>F14*E14*D14</f>
        <v>240000</v>
      </c>
    </row>
    <row r="15" ht="21" customHeight="1" spans="1:7">
      <c r="A15" s="61" t="s">
        <v>56</v>
      </c>
      <c r="B15" s="58" t="s">
        <v>57</v>
      </c>
      <c r="C15" s="58"/>
      <c r="D15" s="58"/>
      <c r="E15" s="58"/>
      <c r="F15" s="58"/>
      <c r="G15" s="64"/>
    </row>
    <row r="16" ht="18" customHeight="1" spans="1:7">
      <c r="A16" s="61"/>
      <c r="B16" s="62" t="s">
        <v>51</v>
      </c>
      <c r="C16" s="45" t="s">
        <v>46</v>
      </c>
      <c r="D16" s="61">
        <v>0.8</v>
      </c>
      <c r="E16" s="61">
        <v>0.4</v>
      </c>
      <c r="F16" s="63">
        <v>1500000</v>
      </c>
      <c r="G16" s="63">
        <f>F16*E16*D16</f>
        <v>480000</v>
      </c>
    </row>
    <row r="17" ht="18" customHeight="1" spans="1:7">
      <c r="A17" s="61"/>
      <c r="B17" s="62" t="s">
        <v>52</v>
      </c>
      <c r="C17" s="45" t="s">
        <v>55</v>
      </c>
      <c r="D17" s="61">
        <v>0.4</v>
      </c>
      <c r="E17" s="61">
        <v>0.4</v>
      </c>
      <c r="F17" s="63">
        <v>1500000</v>
      </c>
      <c r="G17" s="63">
        <f>F17*E17*D17</f>
        <v>240000</v>
      </c>
    </row>
    <row r="18" ht="18" customHeight="1" spans="1:7">
      <c r="A18" s="61"/>
      <c r="B18" s="62" t="s">
        <v>52</v>
      </c>
      <c r="C18" s="45" t="s">
        <v>54</v>
      </c>
      <c r="D18" s="61">
        <v>0.4</v>
      </c>
      <c r="E18" s="61">
        <v>0.4</v>
      </c>
      <c r="F18" s="63">
        <v>1500000</v>
      </c>
      <c r="G18" s="63">
        <f>F18*E18*D18</f>
        <v>240000</v>
      </c>
    </row>
    <row r="19" ht="18" customHeight="1" spans="1:7">
      <c r="A19" s="61"/>
      <c r="B19" s="62" t="s">
        <v>52</v>
      </c>
      <c r="C19" s="45" t="s">
        <v>53</v>
      </c>
      <c r="D19" s="61">
        <v>0.4</v>
      </c>
      <c r="E19" s="61">
        <v>0.4</v>
      </c>
      <c r="F19" s="63">
        <v>1500000</v>
      </c>
      <c r="G19" s="63">
        <f t="shared" ref="G19:G20" si="0">F19*E19*D19</f>
        <v>240000</v>
      </c>
    </row>
    <row r="20" ht="18" customHeight="1" spans="1:7">
      <c r="A20" s="61"/>
      <c r="B20" s="62" t="s">
        <v>52</v>
      </c>
      <c r="C20" s="62" t="s">
        <v>27</v>
      </c>
      <c r="D20" s="61">
        <v>0.4</v>
      </c>
      <c r="E20" s="61">
        <v>0.4</v>
      </c>
      <c r="F20" s="63">
        <v>1500000</v>
      </c>
      <c r="G20" s="63">
        <f t="shared" si="0"/>
        <v>240000</v>
      </c>
    </row>
    <row r="21" ht="37" customHeight="1" spans="1:7">
      <c r="A21" s="61" t="s">
        <v>58</v>
      </c>
      <c r="B21" s="58" t="s">
        <v>59</v>
      </c>
      <c r="C21" s="58"/>
      <c r="D21" s="58"/>
      <c r="E21" s="58"/>
      <c r="F21" s="58"/>
      <c r="G21" s="64"/>
    </row>
    <row r="22" ht="18" customHeight="1" spans="1:7">
      <c r="A22" s="61"/>
      <c r="B22" s="62" t="s">
        <v>51</v>
      </c>
      <c r="C22" s="62" t="s">
        <v>53</v>
      </c>
      <c r="D22" s="61">
        <v>0.8</v>
      </c>
      <c r="E22" s="61">
        <v>0.6</v>
      </c>
      <c r="F22" s="63">
        <v>1500000</v>
      </c>
      <c r="G22" s="63">
        <f>F22*E22*D22</f>
        <v>720000</v>
      </c>
    </row>
    <row r="23" ht="18" customHeight="1" spans="1:7">
      <c r="A23" s="61"/>
      <c r="B23" s="62" t="s">
        <v>52</v>
      </c>
      <c r="C23" s="62" t="s">
        <v>27</v>
      </c>
      <c r="D23" s="61">
        <v>0.4</v>
      </c>
      <c r="E23" s="61">
        <v>0.4</v>
      </c>
      <c r="F23" s="63">
        <v>1500000</v>
      </c>
      <c r="G23" s="63">
        <f t="shared" ref="G23:G24" si="1">F23*E23*D23</f>
        <v>240000</v>
      </c>
    </row>
    <row r="24" ht="18" customHeight="1" spans="1:7">
      <c r="A24" s="61"/>
      <c r="B24" s="62" t="s">
        <v>52</v>
      </c>
      <c r="C24" s="62" t="s">
        <v>46</v>
      </c>
      <c r="D24" s="61">
        <v>0.4</v>
      </c>
      <c r="E24" s="61">
        <v>0.4</v>
      </c>
      <c r="F24" s="63">
        <v>1500000</v>
      </c>
      <c r="G24" s="63">
        <f t="shared" si="1"/>
        <v>240000</v>
      </c>
    </row>
    <row r="25" ht="32" customHeight="1" spans="1:7">
      <c r="A25" s="65" t="s">
        <v>60</v>
      </c>
      <c r="B25" s="66" t="s">
        <v>61</v>
      </c>
      <c r="C25" s="66"/>
      <c r="D25" s="66"/>
      <c r="E25" s="66"/>
      <c r="F25" s="66"/>
      <c r="G25" s="67"/>
    </row>
    <row r="26" ht="18" customHeight="1" spans="1:7">
      <c r="A26" s="68"/>
      <c r="B26" s="62" t="s">
        <v>51</v>
      </c>
      <c r="C26" s="62" t="s">
        <v>55</v>
      </c>
      <c r="D26" s="61">
        <v>0.8</v>
      </c>
      <c r="E26" s="61">
        <v>1</v>
      </c>
      <c r="F26" s="63">
        <v>1500000</v>
      </c>
      <c r="G26" s="63">
        <f>F26*E26*D26</f>
        <v>1200000</v>
      </c>
    </row>
    <row r="27" ht="18" customHeight="1" spans="1:7">
      <c r="A27" s="68"/>
      <c r="B27" s="62" t="s">
        <v>62</v>
      </c>
      <c r="C27" s="62" t="s">
        <v>54</v>
      </c>
      <c r="D27" s="61">
        <v>0.4</v>
      </c>
      <c r="E27" s="61">
        <v>0.5</v>
      </c>
      <c r="F27" s="63">
        <v>1500000</v>
      </c>
      <c r="G27" s="63">
        <f>F27*E27*D27</f>
        <v>300000</v>
      </c>
    </row>
    <row r="28" ht="18" customHeight="1" spans="1:7">
      <c r="A28" s="68"/>
      <c r="B28" s="62" t="s">
        <v>62</v>
      </c>
      <c r="C28" s="62" t="s">
        <v>27</v>
      </c>
      <c r="D28" s="61">
        <v>0.4</v>
      </c>
      <c r="E28" s="61">
        <v>0.5</v>
      </c>
      <c r="F28" s="63">
        <v>1500000</v>
      </c>
      <c r="G28" s="63">
        <f>F28*E28*D28</f>
        <v>300000</v>
      </c>
    </row>
    <row r="29" ht="18" customHeight="1" spans="1:7">
      <c r="A29" s="68"/>
      <c r="B29" s="62" t="s">
        <v>52</v>
      </c>
      <c r="C29" s="62" t="s">
        <v>53</v>
      </c>
      <c r="D29" s="61">
        <v>0.4</v>
      </c>
      <c r="E29" s="61">
        <v>0.5</v>
      </c>
      <c r="F29" s="63">
        <v>1500000</v>
      </c>
      <c r="G29" s="63">
        <f>F29*E29*D29</f>
        <v>300000</v>
      </c>
    </row>
    <row r="30" ht="24" customHeight="1" spans="1:7">
      <c r="A30" s="69">
        <v>2.6</v>
      </c>
      <c r="B30" s="70" t="s">
        <v>63</v>
      </c>
      <c r="C30" s="71"/>
      <c r="D30" s="71"/>
      <c r="E30" s="71"/>
      <c r="F30" s="72"/>
      <c r="G30" s="63"/>
    </row>
    <row r="31" ht="18" customHeight="1" spans="1:7">
      <c r="A31" s="73"/>
      <c r="B31" s="62" t="s">
        <v>51</v>
      </c>
      <c r="C31" s="62" t="s">
        <v>27</v>
      </c>
      <c r="D31" s="61">
        <v>0.8</v>
      </c>
      <c r="E31" s="61">
        <v>0.4</v>
      </c>
      <c r="F31" s="63">
        <v>1500000</v>
      </c>
      <c r="G31" s="63">
        <f>F31*E31*D31</f>
        <v>480000</v>
      </c>
    </row>
    <row r="32" ht="18" customHeight="1" spans="1:7">
      <c r="A32" s="73"/>
      <c r="B32" s="62" t="s">
        <v>52</v>
      </c>
      <c r="C32" s="62" t="s">
        <v>46</v>
      </c>
      <c r="D32" s="61">
        <v>0.4</v>
      </c>
      <c r="E32" s="61">
        <v>0.4</v>
      </c>
      <c r="F32" s="63">
        <v>1500000</v>
      </c>
      <c r="G32" s="63">
        <f>F32*E32*D32</f>
        <v>240000</v>
      </c>
    </row>
    <row r="33" ht="18" customHeight="1" spans="1:7">
      <c r="A33" s="74"/>
      <c r="B33" s="62" t="s">
        <v>52</v>
      </c>
      <c r="C33" s="62" t="s">
        <v>55</v>
      </c>
      <c r="D33" s="61">
        <v>0.4</v>
      </c>
      <c r="E33" s="61">
        <v>0.4</v>
      </c>
      <c r="F33" s="63">
        <v>1500000</v>
      </c>
      <c r="G33" s="63">
        <f>F33*E33*D33</f>
        <v>240000</v>
      </c>
    </row>
    <row r="34" ht="33" customHeight="1" spans="1:7">
      <c r="A34" s="69">
        <v>2.7</v>
      </c>
      <c r="B34" s="70" t="s">
        <v>64</v>
      </c>
      <c r="C34" s="71"/>
      <c r="D34" s="71"/>
      <c r="E34" s="71"/>
      <c r="F34" s="72"/>
      <c r="G34" s="63"/>
    </row>
    <row r="35" ht="18" customHeight="1" spans="1:7">
      <c r="A35" s="73"/>
      <c r="B35" s="62" t="s">
        <v>51</v>
      </c>
      <c r="C35" s="62" t="s">
        <v>54</v>
      </c>
      <c r="D35" s="61">
        <v>0.8</v>
      </c>
      <c r="E35" s="61">
        <v>0.6</v>
      </c>
      <c r="F35" s="63">
        <v>1500000</v>
      </c>
      <c r="G35" s="63">
        <f t="shared" ref="G34:G43" si="2">F35*E35*D35</f>
        <v>720000</v>
      </c>
    </row>
    <row r="36" ht="18" customHeight="1" spans="1:7">
      <c r="A36" s="73"/>
      <c r="B36" s="62" t="s">
        <v>52</v>
      </c>
      <c r="C36" s="62" t="s">
        <v>53</v>
      </c>
      <c r="D36" s="61">
        <v>0.4</v>
      </c>
      <c r="E36" s="61">
        <v>0.6</v>
      </c>
      <c r="F36" s="63">
        <v>1500000</v>
      </c>
      <c r="G36" s="63">
        <f t="shared" si="2"/>
        <v>360000</v>
      </c>
    </row>
    <row r="37" ht="18" customHeight="1" spans="1:7">
      <c r="A37" s="73"/>
      <c r="B37" s="62" t="s">
        <v>52</v>
      </c>
      <c r="C37" s="62" t="s">
        <v>55</v>
      </c>
      <c r="D37" s="61">
        <v>0.4</v>
      </c>
      <c r="E37" s="61">
        <v>0.6</v>
      </c>
      <c r="F37" s="63">
        <v>1500000</v>
      </c>
      <c r="G37" s="63">
        <f t="shared" si="2"/>
        <v>360000</v>
      </c>
    </row>
    <row r="38" ht="34.5" customHeight="1" spans="1:7">
      <c r="A38" s="65">
        <v>2.8</v>
      </c>
      <c r="B38" s="66" t="s">
        <v>65</v>
      </c>
      <c r="C38" s="66"/>
      <c r="D38" s="66"/>
      <c r="E38" s="66"/>
      <c r="F38" s="66"/>
      <c r="G38" s="63"/>
    </row>
    <row r="39" ht="18" customHeight="1" spans="1:7">
      <c r="A39" s="68"/>
      <c r="B39" s="62" t="s">
        <v>51</v>
      </c>
      <c r="C39" s="62" t="s">
        <v>46</v>
      </c>
      <c r="D39" s="61">
        <v>0.8</v>
      </c>
      <c r="E39" s="61">
        <v>0.3</v>
      </c>
      <c r="F39" s="63">
        <v>1500000</v>
      </c>
      <c r="G39" s="63">
        <f t="shared" si="2"/>
        <v>360000</v>
      </c>
    </row>
    <row r="40" ht="18" customHeight="1" spans="1:7">
      <c r="A40" s="68"/>
      <c r="B40" s="62" t="s">
        <v>52</v>
      </c>
      <c r="C40" s="62" t="s">
        <v>53</v>
      </c>
      <c r="D40" s="61">
        <v>0.4</v>
      </c>
      <c r="E40" s="75">
        <v>0.3</v>
      </c>
      <c r="F40" s="63">
        <v>1500000</v>
      </c>
      <c r="G40" s="63">
        <f t="shared" si="2"/>
        <v>180000</v>
      </c>
    </row>
    <row r="41" ht="18" customHeight="1" spans="1:7">
      <c r="A41" s="68"/>
      <c r="B41" s="62" t="s">
        <v>52</v>
      </c>
      <c r="C41" s="62" t="s">
        <v>27</v>
      </c>
      <c r="D41" s="61">
        <v>0.4</v>
      </c>
      <c r="E41" s="75">
        <v>0.3</v>
      </c>
      <c r="F41" s="63">
        <v>1500000</v>
      </c>
      <c r="G41" s="63">
        <f t="shared" si="2"/>
        <v>180000</v>
      </c>
    </row>
    <row r="42" ht="18" customHeight="1" spans="1:7">
      <c r="A42" s="76"/>
      <c r="B42" s="62" t="s">
        <v>52</v>
      </c>
      <c r="C42" s="62" t="s">
        <v>55</v>
      </c>
      <c r="D42" s="61">
        <v>0.4</v>
      </c>
      <c r="E42" s="75">
        <v>0.3</v>
      </c>
      <c r="F42" s="63">
        <v>1500000</v>
      </c>
      <c r="G42" s="63">
        <f>F42*E42*D42</f>
        <v>180000</v>
      </c>
    </row>
    <row r="43" ht="18" customHeight="1" spans="1:7">
      <c r="A43" s="77"/>
      <c r="B43" s="62" t="s">
        <v>52</v>
      </c>
      <c r="C43" s="62" t="s">
        <v>54</v>
      </c>
      <c r="D43" s="61">
        <v>0.4</v>
      </c>
      <c r="E43" s="75">
        <v>0.3</v>
      </c>
      <c r="F43" s="63">
        <v>1500000</v>
      </c>
      <c r="G43" s="63">
        <f t="shared" si="2"/>
        <v>180000</v>
      </c>
    </row>
    <row r="44" ht="18" customHeight="1" spans="1:7">
      <c r="A44" s="78" t="s">
        <v>66</v>
      </c>
      <c r="B44" s="79"/>
      <c r="C44" s="79"/>
      <c r="D44" s="79"/>
      <c r="E44" s="79"/>
      <c r="F44" s="80"/>
      <c r="G44" s="81">
        <f>SUM(G5:G43)</f>
        <v>12000000</v>
      </c>
    </row>
  </sheetData>
  <mergeCells count="24">
    <mergeCell ref="A1:G1"/>
    <mergeCell ref="B5:D5"/>
    <mergeCell ref="B9:F9"/>
    <mergeCell ref="B15:F15"/>
    <mergeCell ref="B21:F21"/>
    <mergeCell ref="B25:F25"/>
    <mergeCell ref="B30:F30"/>
    <mergeCell ref="B34:F34"/>
    <mergeCell ref="B38:F38"/>
    <mergeCell ref="A44:F44"/>
    <mergeCell ref="A2:A3"/>
    <mergeCell ref="A9:A14"/>
    <mergeCell ref="A15:A20"/>
    <mergeCell ref="A21:A24"/>
    <mergeCell ref="A25:A29"/>
    <mergeCell ref="A30:A33"/>
    <mergeCell ref="A34:A37"/>
    <mergeCell ref="A38:A43"/>
    <mergeCell ref="B2:B3"/>
    <mergeCell ref="C2:C3"/>
    <mergeCell ref="D2:D3"/>
    <mergeCell ref="E2:E3"/>
    <mergeCell ref="F2:F3"/>
    <mergeCell ref="G2:G3"/>
  </mergeCells>
  <pageMargins left="0.511811023622047" right="0.31496062992126" top="0.590551181102362" bottom="0.354330708661417" header="0.31496062992126" footer="0.31496062992126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F14" sqref="F14"/>
    </sheetView>
  </sheetViews>
  <sheetFormatPr defaultColWidth="9.18095238095238" defaultRowHeight="15.75" outlineLevelCol="5"/>
  <cols>
    <col min="1" max="1" width="5.18095238095238" style="1" customWidth="1"/>
    <col min="2" max="2" width="38.8190476190476" style="3" customWidth="1"/>
    <col min="3" max="3" width="10" style="3" customWidth="1"/>
    <col min="4" max="4" width="6.36190476190476" style="3" customWidth="1"/>
    <col min="5" max="5" width="15.4571428571429" style="3" customWidth="1"/>
    <col min="6" max="6" width="14.8190476190476" style="3" customWidth="1"/>
    <col min="7" max="16384" width="9.18095238095238" style="3"/>
  </cols>
  <sheetData>
    <row r="1" s="1" customFormat="1" ht="26" customHeight="1" spans="1:6">
      <c r="A1" s="33" t="s">
        <v>67</v>
      </c>
      <c r="B1" s="33"/>
      <c r="C1" s="33"/>
      <c r="D1" s="33"/>
      <c r="E1" s="33"/>
      <c r="F1" s="33"/>
    </row>
    <row r="2" ht="15" customHeight="1" spans="1:6">
      <c r="A2" s="5" t="s">
        <v>11</v>
      </c>
      <c r="B2" s="5" t="s">
        <v>12</v>
      </c>
      <c r="C2" s="6" t="s">
        <v>68</v>
      </c>
      <c r="D2" s="6" t="s">
        <v>69</v>
      </c>
      <c r="E2" s="6" t="s">
        <v>70</v>
      </c>
      <c r="F2" s="6" t="s">
        <v>71</v>
      </c>
    </row>
    <row r="3" spans="1:6">
      <c r="A3" s="5"/>
      <c r="B3" s="5"/>
      <c r="C3" s="7"/>
      <c r="D3" s="7"/>
      <c r="E3" s="7"/>
      <c r="F3" s="7"/>
    </row>
    <row r="4" s="19" customFormat="1" spans="1:6">
      <c r="A4" s="115" t="s">
        <v>72</v>
      </c>
      <c r="B4" s="116" t="s">
        <v>73</v>
      </c>
      <c r="C4" s="117" t="s">
        <v>74</v>
      </c>
      <c r="D4" s="117" t="s">
        <v>75</v>
      </c>
      <c r="E4" s="117" t="s">
        <v>76</v>
      </c>
      <c r="F4" s="117" t="s">
        <v>77</v>
      </c>
    </row>
    <row r="5" ht="20" customHeight="1" spans="1:6">
      <c r="A5" s="36">
        <v>1</v>
      </c>
      <c r="B5" s="37" t="s">
        <v>78</v>
      </c>
      <c r="C5" s="38"/>
      <c r="D5" s="38"/>
      <c r="E5" s="39"/>
      <c r="F5" s="40"/>
    </row>
    <row r="6" ht="20" customHeight="1" spans="1:6">
      <c r="A6" s="41" t="s">
        <v>42</v>
      </c>
      <c r="B6" s="42"/>
      <c r="C6" s="38"/>
      <c r="D6" s="38"/>
      <c r="E6" s="39"/>
      <c r="F6" s="43">
        <f>D6*E6</f>
        <v>0</v>
      </c>
    </row>
    <row r="7" ht="20" customHeight="1" spans="1:6">
      <c r="A7" s="41" t="s">
        <v>44</v>
      </c>
      <c r="B7" s="42"/>
      <c r="C7" s="38"/>
      <c r="D7" s="38"/>
      <c r="E7" s="39"/>
      <c r="F7" s="43">
        <f>D7*E7</f>
        <v>0</v>
      </c>
    </row>
    <row r="8" ht="20" customHeight="1" spans="1:6">
      <c r="A8" s="36">
        <v>2</v>
      </c>
      <c r="B8" s="37" t="s">
        <v>79</v>
      </c>
      <c r="C8" s="44"/>
      <c r="D8" s="38"/>
      <c r="E8" s="39"/>
      <c r="F8" s="40"/>
    </row>
    <row r="9" ht="20" customHeight="1" spans="1:6">
      <c r="A9" s="24" t="s">
        <v>49</v>
      </c>
      <c r="B9" s="45"/>
      <c r="C9" s="46"/>
      <c r="D9" s="46"/>
      <c r="E9" s="47"/>
      <c r="F9" s="43">
        <f>D9*E9</f>
        <v>0</v>
      </c>
    </row>
    <row r="10" ht="20" customHeight="1" spans="1:6">
      <c r="A10" s="24" t="s">
        <v>56</v>
      </c>
      <c r="B10" s="45"/>
      <c r="C10" s="46"/>
      <c r="D10" s="46"/>
      <c r="E10" s="47"/>
      <c r="F10" s="43">
        <f>D10*E10</f>
        <v>0</v>
      </c>
    </row>
    <row r="11" ht="20" customHeight="1" spans="1:6">
      <c r="A11" s="36">
        <v>3</v>
      </c>
      <c r="B11" s="37" t="s">
        <v>80</v>
      </c>
      <c r="C11" s="44"/>
      <c r="D11" s="38"/>
      <c r="E11" s="39"/>
      <c r="F11" s="40"/>
    </row>
    <row r="12" ht="20" customHeight="1" spans="1:6">
      <c r="A12" s="24" t="s">
        <v>81</v>
      </c>
      <c r="B12" s="45"/>
      <c r="C12" s="46"/>
      <c r="D12" s="46"/>
      <c r="E12" s="47"/>
      <c r="F12" s="43">
        <f>D12*E12</f>
        <v>0</v>
      </c>
    </row>
    <row r="13" ht="20" customHeight="1" spans="1:6">
      <c r="A13" s="24" t="s">
        <v>82</v>
      </c>
      <c r="B13" s="45"/>
      <c r="C13" s="46"/>
      <c r="D13" s="46"/>
      <c r="E13" s="47"/>
      <c r="F13" s="43">
        <f>D13*E13</f>
        <v>0</v>
      </c>
    </row>
    <row r="14" s="2" customFormat="1" ht="20" customHeight="1" spans="1:6">
      <c r="A14" s="36"/>
      <c r="B14" s="29" t="s">
        <v>83</v>
      </c>
      <c r="C14" s="48"/>
      <c r="D14" s="49"/>
      <c r="E14" s="50"/>
      <c r="F14" s="51">
        <f>SUM(F5:F13)</f>
        <v>0</v>
      </c>
    </row>
  </sheetData>
  <mergeCells count="7"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511811023622047" right="0.275590551181102" top="0.590551181102362" bottom="0.354330708661417" header="0.31496062992126" footer="0.31496062992126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G9" sqref="G9"/>
    </sheetView>
  </sheetViews>
  <sheetFormatPr defaultColWidth="9.18095238095238" defaultRowHeight="15.75" outlineLevelRow="7" outlineLevelCol="5"/>
  <cols>
    <col min="1" max="1" width="6" style="1" customWidth="1"/>
    <col min="2" max="2" width="32.2666666666667" style="3" customWidth="1"/>
    <col min="3" max="3" width="11.4571428571429" style="3" customWidth="1"/>
    <col min="4" max="4" width="11" style="3" customWidth="1"/>
    <col min="5" max="5" width="14.1809523809524" style="3" customWidth="1"/>
    <col min="6" max="6" width="14.8190476190476" style="3" customWidth="1"/>
    <col min="7" max="16384" width="9.18095238095238" style="3"/>
  </cols>
  <sheetData>
    <row r="1" s="1" customFormat="1" ht="27" customHeight="1" spans="1:6">
      <c r="A1" s="20" t="s">
        <v>84</v>
      </c>
      <c r="B1" s="20"/>
      <c r="C1" s="20"/>
      <c r="D1" s="20"/>
      <c r="E1" s="20"/>
      <c r="F1" s="20"/>
    </row>
    <row r="2" ht="16.5" customHeight="1" spans="1:6">
      <c r="A2" s="5" t="s">
        <v>11</v>
      </c>
      <c r="B2" s="5" t="s">
        <v>85</v>
      </c>
      <c r="C2" s="6" t="s">
        <v>68</v>
      </c>
      <c r="D2" s="6" t="s">
        <v>69</v>
      </c>
      <c r="E2" s="6" t="s">
        <v>86</v>
      </c>
      <c r="F2" s="6" t="s">
        <v>87</v>
      </c>
    </row>
    <row r="3" spans="1:6">
      <c r="A3" s="5"/>
      <c r="B3" s="5"/>
      <c r="C3" s="7"/>
      <c r="D3" s="7"/>
      <c r="E3" s="7"/>
      <c r="F3" s="7"/>
    </row>
    <row r="4" s="19" customFormat="1" spans="1:6">
      <c r="A4" s="118" t="s">
        <v>72</v>
      </c>
      <c r="B4" s="119" t="s">
        <v>73</v>
      </c>
      <c r="C4" s="117" t="s">
        <v>74</v>
      </c>
      <c r="D4" s="117" t="s">
        <v>75</v>
      </c>
      <c r="E4" s="117" t="s">
        <v>76</v>
      </c>
      <c r="F4" s="117" t="s">
        <v>77</v>
      </c>
    </row>
    <row r="5" ht="20" customHeight="1" spans="1:6">
      <c r="A5" s="24">
        <v>1</v>
      </c>
      <c r="B5" s="25" t="s">
        <v>88</v>
      </c>
      <c r="C5" s="26" t="s">
        <v>89</v>
      </c>
      <c r="D5" s="26">
        <v>7</v>
      </c>
      <c r="E5" s="27">
        <v>15000</v>
      </c>
      <c r="F5" s="28">
        <f>D5*E5</f>
        <v>105000</v>
      </c>
    </row>
    <row r="6" ht="20" customHeight="1" spans="1:6">
      <c r="A6" s="24">
        <v>1</v>
      </c>
      <c r="B6" s="25" t="s">
        <v>90</v>
      </c>
      <c r="C6" s="26" t="s">
        <v>91</v>
      </c>
      <c r="D6" s="26">
        <v>2</v>
      </c>
      <c r="E6" s="27">
        <v>85000</v>
      </c>
      <c r="F6" s="28">
        <f>D6*E6</f>
        <v>170000</v>
      </c>
    </row>
    <row r="7" ht="20" customHeight="1" spans="1:6">
      <c r="A7" s="24"/>
      <c r="B7" s="29" t="s">
        <v>83</v>
      </c>
      <c r="C7" s="30"/>
      <c r="D7" s="30"/>
      <c r="E7" s="31"/>
      <c r="F7" s="32">
        <f>SUM(F5:F6)</f>
        <v>275000</v>
      </c>
    </row>
    <row r="8" spans="1:6">
      <c r="A8" s="19"/>
    </row>
  </sheetData>
  <mergeCells count="7">
    <mergeCell ref="A1:F1"/>
    <mergeCell ref="A2:A3"/>
    <mergeCell ref="B2:B3"/>
    <mergeCell ref="C2:C3"/>
    <mergeCell ref="D2:D3"/>
    <mergeCell ref="E2:E3"/>
    <mergeCell ref="F2:F3"/>
  </mergeCells>
  <printOptions horizontalCentered="1"/>
  <pageMargins left="0.511811023622047" right="0.118110236220472" top="0.590551181102362" bottom="0.354330708661417" header="0.31496062992126" footer="0.31496062992126"/>
  <pageSetup paperSize="1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D7" sqref="D7"/>
    </sheetView>
  </sheetViews>
  <sheetFormatPr defaultColWidth="9.18095238095238" defaultRowHeight="15.75" outlineLevelCol="5"/>
  <cols>
    <col min="1" max="1" width="6" style="3" customWidth="1"/>
    <col min="2" max="2" width="36.8190476190476" style="3" customWidth="1"/>
    <col min="3" max="3" width="12.5428571428571" style="3" customWidth="1"/>
    <col min="4" max="4" width="9.18095238095238" style="3" customWidth="1"/>
    <col min="5" max="5" width="10.0857142857143" style="3" customWidth="1"/>
    <col min="6" max="6" width="14.1809523809524" style="3" customWidth="1"/>
    <col min="7" max="16384" width="9.18095238095238" style="3"/>
  </cols>
  <sheetData>
    <row r="1" s="1" customFormat="1" ht="28" customHeight="1" spans="1:6">
      <c r="A1" s="4" t="s">
        <v>92</v>
      </c>
      <c r="B1" s="4"/>
      <c r="C1" s="4"/>
      <c r="D1" s="4"/>
      <c r="E1" s="4"/>
      <c r="F1" s="4"/>
    </row>
    <row r="2" customHeight="1" spans="1:6">
      <c r="A2" s="5" t="s">
        <v>11</v>
      </c>
      <c r="B2" s="5" t="s">
        <v>85</v>
      </c>
      <c r="C2" s="6" t="s">
        <v>93</v>
      </c>
      <c r="D2" s="5" t="s">
        <v>94</v>
      </c>
      <c r="E2" s="5" t="s">
        <v>95</v>
      </c>
      <c r="F2" s="5" t="s">
        <v>71</v>
      </c>
    </row>
    <row r="3" ht="20" customHeight="1" spans="1:6">
      <c r="A3" s="5"/>
      <c r="B3" s="5"/>
      <c r="C3" s="7"/>
      <c r="D3" s="5"/>
      <c r="E3" s="5"/>
      <c r="F3" s="5"/>
    </row>
    <row r="4" ht="20" customHeight="1" spans="1:6">
      <c r="A4" s="8">
        <v>1</v>
      </c>
      <c r="B4" s="9" t="s">
        <v>96</v>
      </c>
      <c r="C4" s="10" t="s">
        <v>97</v>
      </c>
      <c r="D4" s="11">
        <v>1</v>
      </c>
      <c r="E4" s="12">
        <v>450000</v>
      </c>
      <c r="F4" s="12">
        <f>E4*D4</f>
        <v>450000</v>
      </c>
    </row>
    <row r="5" ht="20" customHeight="1" spans="1:6">
      <c r="A5" s="8">
        <v>2</v>
      </c>
      <c r="B5" s="9" t="s">
        <v>98</v>
      </c>
      <c r="C5" s="10" t="s">
        <v>97</v>
      </c>
      <c r="D5" s="11">
        <v>2</v>
      </c>
      <c r="E5" s="12">
        <v>300000</v>
      </c>
      <c r="F5" s="12">
        <f>E5*D5</f>
        <v>600000</v>
      </c>
    </row>
    <row r="6" ht="20" customHeight="1" spans="1:6">
      <c r="A6" s="8">
        <v>3</v>
      </c>
      <c r="B6" s="9" t="s">
        <v>99</v>
      </c>
      <c r="C6" s="10" t="s">
        <v>97</v>
      </c>
      <c r="D6" s="11">
        <v>1</v>
      </c>
      <c r="E6" s="12">
        <v>300000</v>
      </c>
      <c r="F6" s="12">
        <f>D6*E6</f>
        <v>300000</v>
      </c>
    </row>
    <row r="7" ht="20" customHeight="1" spans="1:6">
      <c r="A7" s="8">
        <v>4</v>
      </c>
      <c r="B7" s="9" t="s">
        <v>100</v>
      </c>
      <c r="C7" s="10" t="s">
        <v>97</v>
      </c>
      <c r="D7" s="11">
        <v>1</v>
      </c>
      <c r="E7" s="12">
        <v>300000</v>
      </c>
      <c r="F7" s="12">
        <f t="shared" ref="F7:F10" si="0">D7*E7</f>
        <v>300000</v>
      </c>
    </row>
    <row r="8" ht="20" customHeight="1" spans="1:6">
      <c r="A8" s="8">
        <v>5</v>
      </c>
      <c r="B8" s="9" t="s">
        <v>101</v>
      </c>
      <c r="C8" s="10" t="s">
        <v>97</v>
      </c>
      <c r="D8" s="11">
        <v>1</v>
      </c>
      <c r="E8" s="12">
        <v>100000</v>
      </c>
      <c r="F8" s="12">
        <f t="shared" si="0"/>
        <v>100000</v>
      </c>
    </row>
    <row r="9" ht="20" customHeight="1" spans="1:6">
      <c r="A9" s="8">
        <v>6</v>
      </c>
      <c r="B9" s="9" t="s">
        <v>102</v>
      </c>
      <c r="C9" s="10" t="s">
        <v>103</v>
      </c>
      <c r="D9" s="11">
        <v>3</v>
      </c>
      <c r="E9" s="12">
        <v>175000</v>
      </c>
      <c r="F9" s="12">
        <f t="shared" si="0"/>
        <v>525000</v>
      </c>
    </row>
    <row r="10" ht="20" customHeight="1" spans="1:6">
      <c r="A10" s="8">
        <v>7</v>
      </c>
      <c r="B10" s="9" t="s">
        <v>104</v>
      </c>
      <c r="C10" s="10" t="s">
        <v>103</v>
      </c>
      <c r="D10" s="11">
        <v>2</v>
      </c>
      <c r="E10" s="12">
        <v>225000</v>
      </c>
      <c r="F10" s="12">
        <f t="shared" si="0"/>
        <v>450000</v>
      </c>
    </row>
    <row r="11" s="2" customFormat="1" ht="20" customHeight="1" spans="1:6">
      <c r="A11" s="13"/>
      <c r="B11" s="14" t="s">
        <v>83</v>
      </c>
      <c r="C11" s="15"/>
      <c r="D11" s="15"/>
      <c r="E11" s="16"/>
      <c r="F11" s="17">
        <f>SUM(F4:F10)</f>
        <v>2725000</v>
      </c>
    </row>
    <row r="12" ht="19.5" customHeight="1" spans="1:6">
      <c r="A12" s="18"/>
    </row>
  </sheetData>
  <mergeCells count="8">
    <mergeCell ref="A1:F1"/>
    <mergeCell ref="B11:E11"/>
    <mergeCell ref="A2:A3"/>
    <mergeCell ref="B2:B3"/>
    <mergeCell ref="C2:C3"/>
    <mergeCell ref="D2:D3"/>
    <mergeCell ref="E2:E3"/>
    <mergeCell ref="F2:F3"/>
  </mergeCells>
  <printOptions horizontalCentered="1"/>
  <pageMargins left="0.5" right="0.31496062992126" top="0.590551181102362" bottom="0.354330708661417" header="0.31496062992126" footer="0.31496062992126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Tong hop</vt:lpstr>
      <vt:lpstr>1.Thu lao</vt:lpstr>
      <vt:lpstr>2.Nguyen_vat_lieu</vt:lpstr>
      <vt:lpstr>3.VPP_in an</vt:lpstr>
      <vt:lpstr>4. HĐ nghiem thu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PKL</dc:creator>
  <cp:lastModifiedBy>Trahoph</cp:lastModifiedBy>
  <dcterms:created xsi:type="dcterms:W3CDTF">2018-09-18T01:09:00Z</dcterms:created>
  <cp:lastPrinted>2026-06-06T08:09:00Z</cp:lastPrinted>
  <dcterms:modified xsi:type="dcterms:W3CDTF">2026-06-09T18:18:27Z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852C625F97D44FE28D641B3C2D393CDC_12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